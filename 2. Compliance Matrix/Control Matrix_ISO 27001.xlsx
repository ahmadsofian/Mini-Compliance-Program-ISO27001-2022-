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PC\Documents\ISO 27001 Project\2. Compliance Matrix\"/>
    </mc:Choice>
  </mc:AlternateContent>
  <xr:revisionPtr revIDLastSave="0" documentId="13_ncr:1_{DF181852-331C-40DE-8C85-EC6967801688}" xr6:coauthVersionLast="47" xr6:coauthVersionMax="47" xr10:uidLastSave="{00000000-0000-0000-0000-000000000000}"/>
  <bookViews>
    <workbookView xWindow="-120" yWindow="-120" windowWidth="29040" windowHeight="15720" xr2:uid="{53D99E4D-2385-4ED7-B36E-00A8A67B2660}"/>
  </bookViews>
  <sheets>
    <sheet name="Asset Register" sheetId="3" r:id="rId1"/>
    <sheet name="Control Matrix" sheetId="2" r:id="rId2"/>
    <sheet name="Dashboard Data" sheetId="5" r:id="rId3"/>
    <sheet name="Sheet4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5" l="1"/>
  <c r="B8" i="5"/>
  <c r="B6" i="5"/>
  <c r="B5" i="5"/>
  <c r="B9" i="5" l="1"/>
</calcChain>
</file>

<file path=xl/sharedStrings.xml><?xml version="1.0" encoding="utf-8"?>
<sst xmlns="http://schemas.openxmlformats.org/spreadsheetml/2006/main" count="318" uniqueCount="198">
  <si>
    <t>High</t>
  </si>
  <si>
    <t>Medium</t>
  </si>
  <si>
    <t>People</t>
  </si>
  <si>
    <t>Ref ID</t>
  </si>
  <si>
    <t>Domain</t>
  </si>
  <si>
    <t>Control Name</t>
  </si>
  <si>
    <t>Control Objective</t>
  </si>
  <si>
    <t>Current Status</t>
  </si>
  <si>
    <t>Implementation Details</t>
  </si>
  <si>
    <t>Owner</t>
  </si>
  <si>
    <t>Risk Level</t>
  </si>
  <si>
    <t>Remediation Plan</t>
  </si>
  <si>
    <t>Compliant</t>
  </si>
  <si>
    <t>Partially Compliant</t>
  </si>
  <si>
    <t>Non-Compliant</t>
  </si>
  <si>
    <t>N/A</t>
  </si>
  <si>
    <t>A.5.9</t>
  </si>
  <si>
    <t>Organizational</t>
  </si>
  <si>
    <t>A.8.2</t>
  </si>
  <si>
    <t>A.8.20</t>
  </si>
  <si>
    <t>Technological</t>
  </si>
  <si>
    <t>Network Security</t>
  </si>
  <si>
    <t>A.8.5</t>
  </si>
  <si>
    <t>Secure Authentication</t>
  </si>
  <si>
    <t>A.7.4</t>
  </si>
  <si>
    <t>A.5.1</t>
  </si>
  <si>
    <t>To identify all IT and OT assets and define protection requirements to ensure no "shadow" devices exist on the network.</t>
  </si>
  <si>
    <t>A.5.15</t>
  </si>
  <si>
    <t>Asset Return</t>
  </si>
  <si>
    <t>To ensure all physical and logical assets are returned by employees and contractors upon termination of their employment or contract.</t>
  </si>
  <si>
    <t>To ensure mgmt direction and support for information security is defined and documented across both corporate and operations.</t>
  </si>
  <si>
    <t>A.5.18</t>
  </si>
  <si>
    <t>Access Control</t>
  </si>
  <si>
    <t>To ensure that users only have access to the systems (ERP, SCADA, PLC) they require to perform their specific job functions.</t>
  </si>
  <si>
    <t>A.5.30</t>
  </si>
  <si>
    <t>ICT Readiness</t>
  </si>
  <si>
    <t>To ensure that IT and OT services can be restored to a functional state within required timeframes following a disaster or outage.</t>
  </si>
  <si>
    <t>A.6.3</t>
  </si>
  <si>
    <t>Awareness &amp; Training</t>
  </si>
  <si>
    <t>To ensure that all personnel (including plant operators) are aware of cyber threats and their role in maintaining a secure environment.</t>
  </si>
  <si>
    <t>A.6.7</t>
  </si>
  <si>
    <t>Remote Working</t>
  </si>
  <si>
    <t>To ensure that security is maintained when employees or third-party vendors access the IT or OT networks from off-site locations.</t>
  </si>
  <si>
    <t>A.7.2</t>
  </si>
  <si>
    <t>Physical Entry</t>
  </si>
  <si>
    <t>To prevent unauthorized physical access, damage, and interference to the organization’s office space and production floor.</t>
  </si>
  <si>
    <t>Physical</t>
  </si>
  <si>
    <t>To detect and record unauthorized physical entry or suspicious behavior in sensitive areas like the data center or OT control room.</t>
  </si>
  <si>
    <t>Physical Monitoring</t>
  </si>
  <si>
    <t>A.7.10</t>
  </si>
  <si>
    <t>Storage Media</t>
  </si>
  <si>
    <t>To prevent unauthorized disclosure or damage to information stored on removable media, such as USB drives used for PLC updates.</t>
  </si>
  <si>
    <t>A.8.1</t>
  </si>
  <si>
    <t>User Endpoint Devices</t>
  </si>
  <si>
    <t>To ensure that laptops and workstations are protected against unauthorized access and malware, regardless of where they are used.</t>
  </si>
  <si>
    <t>Privileged Access Rights</t>
  </si>
  <si>
    <t>To restrict "Admin" or "Superuser" powers to only those who absolutely need them to prevent accidental or malicious system changes.</t>
  </si>
  <si>
    <t>To ensure that only verified users can log into systems through the use of strong passwords or multi-factor authentication (MFA).</t>
  </si>
  <si>
    <t>A.8.8</t>
  </si>
  <si>
    <t>Vulnerability Mgmt</t>
  </si>
  <si>
    <t>To identify and remediate security weaknesses in software and hardware before they can be exploited by an attacker.</t>
  </si>
  <si>
    <t>A.8.15</t>
  </si>
  <si>
    <t>Logging</t>
  </si>
  <si>
    <t>To record security-related events so that they can be used for monitoring, troubleshooting, and forensic investigations.</t>
  </si>
  <si>
    <t>A.8.16</t>
  </si>
  <si>
    <t>Inventory of Assets</t>
  </si>
  <si>
    <t>Policies for Information Security</t>
  </si>
  <si>
    <t>Monitoring Activities</t>
  </si>
  <si>
    <t>To detect anomalous behavior or potential security breaches in the network traffic in real-time.</t>
  </si>
  <si>
    <t>To protect the information in networks and ensure the IT and OT environments are properly segregated to prevent lateral movement.</t>
  </si>
  <si>
    <t>A.8.24</t>
  </si>
  <si>
    <t>Information Deletion</t>
  </si>
  <si>
    <t>To ensure that sensitive information is permanently destroy when it is no longer required for business or legal reasons</t>
  </si>
  <si>
    <t>Information Security Policy is signed by the CEO and reviewed annually.</t>
  </si>
  <si>
    <t>IT assets (laptops,servers) are tracked in a central database. However, OT assets (PLCs, HMIs) are tracked in manual, outdated spreadsheets by the plant floor team</t>
  </si>
  <si>
    <t>A formal "Joiners, Movers, Leavers" (JML) process exists. HR notifies IT to revoke access within 24 hours of an employee leaving.</t>
  </si>
  <si>
    <t>Implement a unified Asset Management system. Use passive network discovery tools to automatically map OT devices without disrupting production.</t>
  </si>
  <si>
    <t>Corporate staff receive annual phishing training, but factory floor operators have been excluded from all cybersecurity training for the last 1 year.</t>
  </si>
  <si>
    <t>Develop a " Cyber Awareness" training modul specifically for plant operators, focusing on physical security and the risks of unauthorized external device usage (USB drive).</t>
  </si>
  <si>
    <t>Plant engineers use personal, unencrypted USB drives to transfer logic updates to PLCs because the factory machines are not networked.</t>
  </si>
  <si>
    <t>Disable USB ports on all HMIs. Provide "sanitized" company issued USBs that must be scanned at a dedicated malware scanning system before use</t>
  </si>
  <si>
    <t>The SCADA system uses a shared "OPERATOR" account with a password taped to the monitor. MFA is not enabled for the engineering workstation.</t>
  </si>
  <si>
    <t>Enforce individual user accounts for the SCADA system. Implement Hardware Tokens for engineers, as mobile-based MFA is difficult in "No-Phone" factory zones.</t>
  </si>
  <si>
    <t>The network is "flat." A virus on an HR laptop in the office could technically reach the robotic controllers on the factory floor.</t>
  </si>
  <si>
    <t>Implement a DMZ (Demilitarized Zone) between IT and OT networks. Deploy Industrial Firewalls to restrict traffic to only essential protocols</t>
  </si>
  <si>
    <t>Windows logs are collected from the corporate office, but no logs are being pulled from the OT network or the industrial firewalls.</t>
  </si>
  <si>
    <t>Centralize all logs into a SIEM (Security Information and Event Management) system. Ensure OT logs are monitored for "Instruction Changes" to PLCs.</t>
  </si>
  <si>
    <t>No action needed. Maintain annual review cycle.</t>
  </si>
  <si>
    <t>HR checklist includes the return of laptops and badges. Termination access removal is automated.</t>
  </si>
  <si>
    <t>Ensure OT-specific hardware (handheld scanners) is added to the return checklist.</t>
  </si>
  <si>
    <t>No immediate action; continue quarterly access reviews of the ERP system.</t>
  </si>
  <si>
    <t>External vendors connect to factory machines via TeamViewer without formal approval or logging</t>
  </si>
  <si>
    <t>Require all remote access to go through a Secure VPN with MFA and "Just-in-Time" approval by the Plant Manager.</t>
  </si>
  <si>
    <t>All entry points require badge access. Visitors are escorted at all times.</t>
  </si>
  <si>
    <t>No action needed. Periodic testing of badge readers recommended.</t>
  </si>
  <si>
    <t>CCTV covers the main office and the factory entrances. Footage is kept for 30 days.</t>
  </si>
  <si>
    <t>Extend CCTV coverage to include internal OT server cabinets.</t>
  </si>
  <si>
    <t>Corporate laptops are managed via Intune. Factory floor HMIs are running Windows 7 and are unmanaged.</t>
  </si>
  <si>
    <t>Upgrade or "Harden" factory workstations. Implement Endpoint Detection and Response (EDR) where supported.</t>
  </si>
  <si>
    <t>"Admin" rights are granted to all plant engineers to avoid "permission issues" during shifts.</t>
  </si>
  <si>
    <t>Implement the Principle of Least Privilege. Move engineers to standard accounts and use a PAM (Privileged Access Management) tool.</t>
  </si>
  <si>
    <t>IT systems are patched monthly. OT systems are never patched due to fear of "bricking" the machines.</t>
  </si>
  <si>
    <t>Establish a Virtual Patching strategy using firewalls to protect unpatchable OT systems. Test patches in a lab environment first.</t>
  </si>
  <si>
    <t>No formal process for wiping data from decommissioned factory controllers or hard drives.</t>
  </si>
  <si>
    <t>Implement a data destruction policy. Use certified physical shredding for old drives containing IP or PII.</t>
  </si>
  <si>
    <t>Corporate IT traffic is monitored via basic firewall logs. However, there is no monitoring of the "East-West" traffic within the OT network. If a PLC is compromised, there is currently no way to detect it.</t>
  </si>
  <si>
    <t>Deploy an Industrial IDS (Intrusion Detection System) that can "read" OT protocols like Modbus or OPC-UA. Integrate these logs into a central dashboard for real-time alerting.</t>
  </si>
  <si>
    <t>CISO / IT Manager</t>
  </si>
  <si>
    <t>Critical</t>
  </si>
  <si>
    <t>Low</t>
  </si>
  <si>
    <t>IT Manager &amp; Plant Manager</t>
  </si>
  <si>
    <t>HR Manager</t>
  </si>
  <si>
    <t xml:space="preserve">IT Manager </t>
  </si>
  <si>
    <t>IT has a Disaster Recovery plan with off-site backups. OT has no formal "Manual Mode" procedure if the SCADA fails.</t>
  </si>
  <si>
    <t>Draft a Business Continuity Plan (BCP) for the factory floor to ensure production can continue during an IT outage.</t>
  </si>
  <si>
    <t>IT Manager</t>
  </si>
  <si>
    <t>Facilities Manager</t>
  </si>
  <si>
    <t>Plant Manager</t>
  </si>
  <si>
    <t>Network Engineer / IT Manager</t>
  </si>
  <si>
    <t>Last Reviewed Date</t>
  </si>
  <si>
    <t>Apex Manufacturing: Master Asset Register (ISO 27001:2022 / NIST Baseline)</t>
  </si>
  <si>
    <t xml:space="preserve">Asset ID </t>
  </si>
  <si>
    <t>Asset Name</t>
  </si>
  <si>
    <t>Category</t>
  </si>
  <si>
    <t>Purdue Level</t>
  </si>
  <si>
    <t>C-I-A Rating</t>
  </si>
  <si>
    <t>Criticality</t>
  </si>
  <si>
    <t>AM-HW-001</t>
  </si>
  <si>
    <t>Siemens S7-1500 PLC</t>
  </si>
  <si>
    <t>Hardware</t>
  </si>
  <si>
    <t>Level 1</t>
  </si>
  <si>
    <t>1, 3, 3</t>
  </si>
  <si>
    <t>AM-HW-002</t>
  </si>
  <si>
    <t>Kuka Robotic Arm Controller</t>
  </si>
  <si>
    <t>Level 0</t>
  </si>
  <si>
    <t>AM-HW-003</t>
  </si>
  <si>
    <t>HMI (PanelView Plus 7)</t>
  </si>
  <si>
    <t>Level 2</t>
  </si>
  <si>
    <t>OT Engineer</t>
  </si>
  <si>
    <t>1, 3, 2</t>
  </si>
  <si>
    <t>AM-SW-004</t>
  </si>
  <si>
    <t>Ignition SCADA Server</t>
  </si>
  <si>
    <t>Software</t>
  </si>
  <si>
    <t>Level 3</t>
  </si>
  <si>
    <t>2, 3, 3</t>
  </si>
  <si>
    <t>AM-HW-005</t>
  </si>
  <si>
    <t>Engineering Workstation</t>
  </si>
  <si>
    <t>2, 3, 2</t>
  </si>
  <si>
    <t>AM-SW-006</t>
  </si>
  <si>
    <t>Industrial Historian DB</t>
  </si>
  <si>
    <t>AM-HW-007</t>
  </si>
  <si>
    <t>Cisco IE-3000 Switch</t>
  </si>
  <si>
    <t>Level 2/3</t>
  </si>
  <si>
    <t>Network Lead</t>
  </si>
  <si>
    <t>AM-SW-008</t>
  </si>
  <si>
    <t>SAP ERP Instance</t>
  </si>
  <si>
    <t>Level 4</t>
  </si>
  <si>
    <t>3, 3, 2</t>
  </si>
  <si>
    <t>AM-DT-009</t>
  </si>
  <si>
    <t>Customer PII Database</t>
  </si>
  <si>
    <t>Data</t>
  </si>
  <si>
    <t>Sales Director</t>
  </si>
  <si>
    <t>3, 2, 1</t>
  </si>
  <si>
    <t>AM-DT-010</t>
  </si>
  <si>
    <t>Proprietary CAD Blueprints</t>
  </si>
  <si>
    <t>Head of R&amp;D</t>
  </si>
  <si>
    <t>AM-SW-011</t>
  </si>
  <si>
    <t>Microsoft 365 Tenant</t>
  </si>
  <si>
    <t>Level 5</t>
  </si>
  <si>
    <t>3, 2, 2</t>
  </si>
  <si>
    <t>AM-HW-012</t>
  </si>
  <si>
    <t>Corporate File Server</t>
  </si>
  <si>
    <t>AM-HW-013</t>
  </si>
  <si>
    <t>Admin Laptops (Windows)</t>
  </si>
  <si>
    <t>2, 2, 2</t>
  </si>
  <si>
    <t>AM-HW-014</t>
  </si>
  <si>
    <t>Operator Tablets (Android)</t>
  </si>
  <si>
    <t>1, 2, 2</t>
  </si>
  <si>
    <t>AM-HW-015</t>
  </si>
  <si>
    <t>CCTV NVR System</t>
  </si>
  <si>
    <t>Facilities Mgr</t>
  </si>
  <si>
    <t>2, 2, 3</t>
  </si>
  <si>
    <t>Summary Tables</t>
  </si>
  <si>
    <t>Table 1: Overall Compliance Health</t>
  </si>
  <si>
    <t>Metric</t>
  </si>
  <si>
    <t>Value</t>
  </si>
  <si>
    <t>Total Control</t>
  </si>
  <si>
    <t>Compliance Score</t>
  </si>
  <si>
    <t>Table 2: Risk Exposure</t>
  </si>
  <si>
    <t>Open Gaps (Non-Compliant)</t>
  </si>
  <si>
    <t>Table 3: Ownership</t>
  </si>
  <si>
    <t>Total Controls</t>
  </si>
  <si>
    <t>Non-Compliant Items</t>
  </si>
  <si>
    <t>HR / Facilities</t>
  </si>
  <si>
    <t>IT Manager / Plan Manager</t>
  </si>
  <si>
    <t>`</t>
  </si>
  <si>
    <t>Risk Occurrence</t>
  </si>
  <si>
    <t>Control Matrix ISO 27001:2022 ISMS for Apex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</si>
</sst>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2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readingOrder="1"/>
    </xf>
    <xf numFmtId="0" fontId="1" fillId="0" borderId="0" xfId="0" applyFont="1" applyAlignment="1">
      <alignment vertical="top" readingOrder="1"/>
    </xf>
    <xf numFmtId="9" fontId="0" fillId="0" borderId="0" xfId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2">
    <dxf>
      <fill>
        <patternFill>
          <bgColor theme="9" tint="0.79998168889431442"/>
        </patternFill>
      </fill>
    </dxf>
    <dxf>
      <fill>
        <patternFill>
          <bgColor rgb="FFFF7C80"/>
        </patternFill>
      </fill>
    </dxf>
    <dxf>
      <fill>
        <patternFill>
          <bgColor rgb="FFFFCC66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vertical="top" textRotation="0" wrapText="0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vertical="top" textRotation="0" wrapText="0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vertical="top" textRotation="0" wrapText="0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vertical="top" textRotation="0" wrapText="0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vertical="top" textRotation="0" wrapText="0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vertical="top" textRotation="0" wrapText="0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vertical="top" textRotation="0" wrapText="0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  <alignment vertical="top" textRotation="0" wrapText="0" indent="0" justifyLastLine="0" shrinkToFit="0" readingOrder="1"/>
    </dxf>
  </dxfs>
  <tableStyles count="0" defaultTableStyle="TableStyleMedium2" defaultPivotStyle="PivotStyleLight16"/>
  <colors>
    <mruColors>
      <color rgb="FFFFCC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Overall Compliance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F0-43D5-91AB-896D19DE8B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AF0-43D5-91AB-896D19DE8B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AF0-43D5-91AB-896D19DE8BD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F0-43D5-91AB-896D19DE8BD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0E4190E-9FDE-4167-87E8-CBB6801F8597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MY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AF0-43D5-91AB-896D19DE8BD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FD7E597-A231-492C-9B31-A9F730A24D0E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MY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AF0-43D5-91AB-896D19DE8BD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319500-B174-47D6-AF4F-E2CF9A897C03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MY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AF0-43D5-91AB-896D19DE8BD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5B75C75-7D1D-4586-BFCF-C2E989969937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MY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AF0-43D5-91AB-896D19DE8B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Data'!$A$5:$A$8</c:f>
              <c:strCache>
                <c:ptCount val="4"/>
                <c:pt idx="0">
                  <c:v>Total Control</c:v>
                </c:pt>
                <c:pt idx="1">
                  <c:v>Compliant</c:v>
                </c:pt>
                <c:pt idx="2">
                  <c:v>Partially Compliant</c:v>
                </c:pt>
                <c:pt idx="3">
                  <c:v>Non-Compliant</c:v>
                </c:pt>
              </c:strCache>
            </c:strRef>
          </c:cat>
          <c:val>
            <c:numRef>
              <c:f>'Dashboard Data'!$B$5:$B$8</c:f>
              <c:numCache>
                <c:formatCode>General</c:formatCode>
                <c:ptCount val="4"/>
                <c:pt idx="0">
                  <c:v>18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0-43D5-91AB-896D19DE8B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Risk Profile &amp; Non-Compliant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'Dashboard Data'!$A$14:$A$17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'Dashboard Data'!$B$14:$B$17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C-49C1-871D-E8A3F15D678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'Dashboard Data'!$A$14:$A$17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'Dashboard Data'!$C$14:$C$17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C-49C1-871D-E8A3F15D6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2719247"/>
        <c:axId val="2072725487"/>
      </c:barChart>
      <c:catAx>
        <c:axId val="207271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25487"/>
        <c:crosses val="autoZero"/>
        <c:auto val="1"/>
        <c:lblAlgn val="ctr"/>
        <c:lblOffset val="100"/>
        <c:noMultiLvlLbl val="0"/>
      </c:catAx>
      <c:valAx>
        <c:axId val="207272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</xdr:colOff>
      <xdr:row>2</xdr:row>
      <xdr:rowOff>19049</xdr:rowOff>
    </xdr:from>
    <xdr:to>
      <xdr:col>10</xdr:col>
      <xdr:colOff>561976</xdr:colOff>
      <xdr:row>12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E657D-9E19-DEF5-791E-BBB647526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13</xdr:row>
      <xdr:rowOff>114300</xdr:rowOff>
    </xdr:from>
    <xdr:to>
      <xdr:col>10</xdr:col>
      <xdr:colOff>561975</xdr:colOff>
      <xdr:row>26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C2F460-E663-5D88-DF2A-4737F9365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7364D-8591-47C2-9A79-87F1B2AC7118}" name="Table1" displayName="Table1" ref="A3:G18" totalsRowShown="0" dataDxfId="21">
  <autoFilter ref="A3:G18" xr:uid="{9107364D-8591-47C2-9A79-87F1B2AC7118}"/>
  <tableColumns count="7">
    <tableColumn id="1" xr3:uid="{0E648EA6-F0C3-4AA0-98E1-EDAA2504F366}" name="Asset ID " dataDxfId="20"/>
    <tableColumn id="2" xr3:uid="{868E9FD4-2CC6-4562-AC3A-51862752D4F7}" name="Asset Name" dataDxfId="19"/>
    <tableColumn id="3" xr3:uid="{63731748-6FCA-4865-9D28-A099ACFB6FF6}" name="Category" dataDxfId="18"/>
    <tableColumn id="4" xr3:uid="{09699980-A486-4F1D-8043-4ED1E76868B2}" name="Purdue Level" dataDxfId="17"/>
    <tableColumn id="5" xr3:uid="{1B54A9D2-9073-42B0-BB15-0730A270F2F5}" name="Owner" dataDxfId="16"/>
    <tableColumn id="6" xr3:uid="{84721ED2-E760-47D9-8642-2E3D786A0792}" name="C-I-A Rating" dataDxfId="15"/>
    <tableColumn id="7" xr3:uid="{9097266B-909B-48E7-AB05-4436EA6A5A58}" name="Criticality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0ECF6B-EC15-4768-8290-004D70F7E722}" name="Table5" displayName="Table5" ref="A3:J21" totalsRowShown="0" dataDxfId="13">
  <autoFilter ref="A3:J21" xr:uid="{330ECF6B-EC15-4768-8290-004D70F7E722}"/>
  <tableColumns count="10">
    <tableColumn id="1" xr3:uid="{7CA3C8FC-2C44-4E2A-9624-CFC7B484CF4A}" name="Ref ID" dataDxfId="12"/>
    <tableColumn id="2" xr3:uid="{27ABE52C-D4AF-4EAB-8F77-08814578F162}" name="Domain" dataDxfId="11"/>
    <tableColumn id="3" xr3:uid="{DA5BFC00-963C-4443-99D2-2EC9027FEA7E}" name="Control Name" dataDxfId="10"/>
    <tableColumn id="4" xr3:uid="{1824D42D-484B-4671-8FC1-4AF98DBC106A}" name="Control Objective" dataDxfId="9"/>
    <tableColumn id="5" xr3:uid="{9A14868B-5831-4322-ADEF-97BDEEA3BF75}" name="Current Status" dataDxfId="8"/>
    <tableColumn id="6" xr3:uid="{CC79F9B4-5238-4A60-866F-308454BF3C51}" name="Implementation Details" dataDxfId="7"/>
    <tableColumn id="7" xr3:uid="{48CE7145-6630-4E67-ADC3-05CDFE124B49}" name="Owner" dataDxfId="6"/>
    <tableColumn id="8" xr3:uid="{11CA8808-16C8-4FB0-8B6B-EC42044045EA}" name="Risk Level" dataDxfId="5"/>
    <tableColumn id="9" xr3:uid="{7A4D0F7D-FB2F-4BDA-ABFF-D0810A974467}" name="Remediation Plan" dataDxfId="4"/>
    <tableColumn id="10" xr3:uid="{C0E94CAF-08F5-4949-A9CB-B864459D5996}" name="Last Reviewed Dat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19D7B-5098-41EC-9AA3-F5CA7DAE03AE}" name="Table2" displayName="Table2" ref="A4:B9" totalsRowShown="0">
  <autoFilter ref="A4:B9" xr:uid="{40019D7B-5098-41EC-9AA3-F5CA7DAE03AE}"/>
  <tableColumns count="2">
    <tableColumn id="1" xr3:uid="{B26D5ECC-00F4-4887-A53A-FBF5554D7E68}" name="Metric"/>
    <tableColumn id="2" xr3:uid="{024144F7-2612-43A7-8F50-6C17768DEF7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5256CA-0F95-4CA7-98A0-81A66A64C48F}" name="Table3" displayName="Table3" ref="A13:C17" totalsRowShown="0">
  <autoFilter ref="A13:C17" xr:uid="{AC5256CA-0F95-4CA7-98A0-81A66A64C48F}"/>
  <tableColumns count="3">
    <tableColumn id="1" xr3:uid="{CB625104-2F14-45DE-B36F-3827B8F12D7A}" name="Risk Level"/>
    <tableColumn id="2" xr3:uid="{1DE10578-1817-4895-952D-478791E3A442}" name="Risk Occurrence"/>
    <tableColumn id="3" xr3:uid="{D3979738-37A2-4232-9F72-2D552C33EF75}" name="Open Gaps (Non-Compliant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9CDA21-8EFF-408D-B833-D6ED746ACA34}" name="Table4" displayName="Table4" ref="A21:C23" totalsRowShown="0">
  <autoFilter ref="A21:C23" xr:uid="{C59CDA21-8EFF-408D-B833-D6ED746ACA34}"/>
  <tableColumns count="3">
    <tableColumn id="1" xr3:uid="{270C3CB7-C5AF-4A89-A1CA-E016245F7A9D}" name="Owner"/>
    <tableColumn id="2" xr3:uid="{22563C6E-A2EA-44EB-BCCD-3BC6BFD17E48}" name="Total Controls"/>
    <tableColumn id="3" xr3:uid="{EA46A3FA-4934-42F2-8AD8-3B64C0D1812B}" name="Non-Compliant Ite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7D8E-A3F7-4131-8AF9-D88A602C1579}">
  <dimension ref="A1:H18"/>
  <sheetViews>
    <sheetView tabSelected="1" zoomScaleNormal="100" workbookViewId="0">
      <selection activeCell="G30" sqref="G30"/>
    </sheetView>
  </sheetViews>
  <sheetFormatPr defaultRowHeight="15" x14ac:dyDescent="0.25"/>
  <cols>
    <col min="1" max="1" width="12.7109375" bestFit="1" customWidth="1"/>
    <col min="2" max="2" width="24.28515625" customWidth="1"/>
    <col min="3" max="3" width="11.42578125" bestFit="1" customWidth="1"/>
    <col min="4" max="4" width="15" bestFit="1" customWidth="1"/>
    <col min="5" max="5" width="12.42578125" customWidth="1"/>
    <col min="6" max="6" width="14" bestFit="1" customWidth="1"/>
    <col min="7" max="7" width="12.140625" bestFit="1" customWidth="1"/>
  </cols>
  <sheetData>
    <row r="1" spans="1:8" ht="21" x14ac:dyDescent="0.25">
      <c r="A1" s="10" t="s">
        <v>120</v>
      </c>
      <c r="B1" s="10"/>
      <c r="C1" s="10"/>
      <c r="D1" s="10"/>
      <c r="E1" s="10"/>
      <c r="F1" s="10"/>
      <c r="G1" s="10"/>
      <c r="H1" s="1"/>
    </row>
    <row r="3" spans="1:8" x14ac:dyDescent="0.25">
      <c r="A3" t="s">
        <v>121</v>
      </c>
      <c r="B3" t="s">
        <v>122</v>
      </c>
      <c r="C3" t="s">
        <v>123</v>
      </c>
      <c r="D3" t="s">
        <v>124</v>
      </c>
      <c r="E3" t="s">
        <v>9</v>
      </c>
      <c r="F3" t="s">
        <v>125</v>
      </c>
      <c r="G3" t="s">
        <v>126</v>
      </c>
    </row>
    <row r="4" spans="1:8" x14ac:dyDescent="0.25">
      <c r="A4" s="4" t="s">
        <v>127</v>
      </c>
      <c r="B4" s="4" t="s">
        <v>128</v>
      </c>
      <c r="C4" s="4" t="s">
        <v>129</v>
      </c>
      <c r="D4" s="4" t="s">
        <v>130</v>
      </c>
      <c r="E4" s="4" t="s">
        <v>117</v>
      </c>
      <c r="F4" s="4" t="s">
        <v>131</v>
      </c>
      <c r="G4" s="5" t="s">
        <v>108</v>
      </c>
    </row>
    <row r="5" spans="1:8" x14ac:dyDescent="0.25">
      <c r="A5" s="4" t="s">
        <v>132</v>
      </c>
      <c r="B5" s="4" t="s">
        <v>133</v>
      </c>
      <c r="C5" s="4" t="s">
        <v>129</v>
      </c>
      <c r="D5" s="4" t="s">
        <v>134</v>
      </c>
      <c r="E5" s="4" t="s">
        <v>117</v>
      </c>
      <c r="F5" s="4" t="s">
        <v>131</v>
      </c>
      <c r="G5" s="5" t="s">
        <v>108</v>
      </c>
    </row>
    <row r="6" spans="1:8" x14ac:dyDescent="0.25">
      <c r="A6" s="4" t="s">
        <v>135</v>
      </c>
      <c r="B6" s="4" t="s">
        <v>136</v>
      </c>
      <c r="C6" s="4" t="s">
        <v>129</v>
      </c>
      <c r="D6" s="4" t="s">
        <v>137</v>
      </c>
      <c r="E6" s="4" t="s">
        <v>138</v>
      </c>
      <c r="F6" s="4" t="s">
        <v>139</v>
      </c>
      <c r="G6" s="5" t="s">
        <v>0</v>
      </c>
    </row>
    <row r="7" spans="1:8" x14ac:dyDescent="0.25">
      <c r="A7" s="4" t="s">
        <v>140</v>
      </c>
      <c r="B7" s="4" t="s">
        <v>141</v>
      </c>
      <c r="C7" s="4" t="s">
        <v>142</v>
      </c>
      <c r="D7" s="4" t="s">
        <v>143</v>
      </c>
      <c r="E7" s="4" t="s">
        <v>138</v>
      </c>
      <c r="F7" s="4" t="s">
        <v>144</v>
      </c>
      <c r="G7" s="5" t="s">
        <v>108</v>
      </c>
    </row>
    <row r="8" spans="1:8" x14ac:dyDescent="0.25">
      <c r="A8" s="4" t="s">
        <v>145</v>
      </c>
      <c r="B8" s="4" t="s">
        <v>146</v>
      </c>
      <c r="C8" s="4" t="s">
        <v>129</v>
      </c>
      <c r="D8" s="4" t="s">
        <v>143</v>
      </c>
      <c r="E8" s="4" t="s">
        <v>138</v>
      </c>
      <c r="F8" s="4" t="s">
        <v>147</v>
      </c>
      <c r="G8" s="5" t="s">
        <v>0</v>
      </c>
    </row>
    <row r="9" spans="1:8" x14ac:dyDescent="0.25">
      <c r="A9" s="4" t="s">
        <v>148</v>
      </c>
      <c r="B9" s="4" t="s">
        <v>149</v>
      </c>
      <c r="C9" s="4" t="s">
        <v>142</v>
      </c>
      <c r="D9" s="4" t="s">
        <v>143</v>
      </c>
      <c r="E9" s="4" t="s">
        <v>115</v>
      </c>
      <c r="F9" s="4" t="s">
        <v>147</v>
      </c>
      <c r="G9" s="5" t="s">
        <v>1</v>
      </c>
    </row>
    <row r="10" spans="1:8" x14ac:dyDescent="0.25">
      <c r="A10" s="4" t="s">
        <v>150</v>
      </c>
      <c r="B10" s="4" t="s">
        <v>151</v>
      </c>
      <c r="C10" s="4" t="s">
        <v>129</v>
      </c>
      <c r="D10" s="4" t="s">
        <v>152</v>
      </c>
      <c r="E10" s="4" t="s">
        <v>153</v>
      </c>
      <c r="F10" s="4" t="s">
        <v>131</v>
      </c>
      <c r="G10" s="5" t="s">
        <v>0</v>
      </c>
    </row>
    <row r="11" spans="1:8" x14ac:dyDescent="0.25">
      <c r="A11" s="4" t="s">
        <v>154</v>
      </c>
      <c r="B11" s="4" t="s">
        <v>155</v>
      </c>
      <c r="C11" s="4" t="s">
        <v>142</v>
      </c>
      <c r="D11" s="4" t="s">
        <v>156</v>
      </c>
      <c r="E11" s="4" t="s">
        <v>115</v>
      </c>
      <c r="F11" s="4" t="s">
        <v>157</v>
      </c>
      <c r="G11" s="5" t="s">
        <v>0</v>
      </c>
    </row>
    <row r="12" spans="1:8" x14ac:dyDescent="0.25">
      <c r="A12" s="4" t="s">
        <v>158</v>
      </c>
      <c r="B12" s="4" t="s">
        <v>159</v>
      </c>
      <c r="C12" s="4" t="s">
        <v>160</v>
      </c>
      <c r="D12" s="4" t="s">
        <v>156</v>
      </c>
      <c r="E12" s="4" t="s">
        <v>161</v>
      </c>
      <c r="F12" s="4" t="s">
        <v>162</v>
      </c>
      <c r="G12" s="5" t="s">
        <v>0</v>
      </c>
      <c r="H12" s="3"/>
    </row>
    <row r="13" spans="1:8" x14ac:dyDescent="0.25">
      <c r="A13" s="4" t="s">
        <v>163</v>
      </c>
      <c r="B13" s="4" t="s">
        <v>164</v>
      </c>
      <c r="C13" s="4" t="s">
        <v>160</v>
      </c>
      <c r="D13" s="4" t="s">
        <v>156</v>
      </c>
      <c r="E13" s="4" t="s">
        <v>165</v>
      </c>
      <c r="F13" s="4" t="s">
        <v>162</v>
      </c>
      <c r="G13" s="5" t="s">
        <v>0</v>
      </c>
    </row>
    <row r="14" spans="1:8" x14ac:dyDescent="0.25">
      <c r="A14" s="4" t="s">
        <v>166</v>
      </c>
      <c r="B14" s="4" t="s">
        <v>167</v>
      </c>
      <c r="C14" s="4" t="s">
        <v>142</v>
      </c>
      <c r="D14" s="4" t="s">
        <v>168</v>
      </c>
      <c r="E14" s="4" t="s">
        <v>115</v>
      </c>
      <c r="F14" s="4" t="s">
        <v>169</v>
      </c>
      <c r="G14" s="5" t="s">
        <v>1</v>
      </c>
    </row>
    <row r="15" spans="1:8" x14ac:dyDescent="0.25">
      <c r="A15" s="4" t="s">
        <v>170</v>
      </c>
      <c r="B15" s="4" t="s">
        <v>171</v>
      </c>
      <c r="C15" s="4" t="s">
        <v>129</v>
      </c>
      <c r="D15" s="4" t="s">
        <v>156</v>
      </c>
      <c r="E15" s="4" t="s">
        <v>115</v>
      </c>
      <c r="F15" s="4" t="s">
        <v>157</v>
      </c>
      <c r="G15" s="5" t="s">
        <v>1</v>
      </c>
    </row>
    <row r="16" spans="1:8" x14ac:dyDescent="0.25">
      <c r="A16" s="4" t="s">
        <v>172</v>
      </c>
      <c r="B16" s="4" t="s">
        <v>173</v>
      </c>
      <c r="C16" s="4" t="s">
        <v>129</v>
      </c>
      <c r="D16" s="4" t="s">
        <v>168</v>
      </c>
      <c r="E16" s="4" t="s">
        <v>115</v>
      </c>
      <c r="F16" s="4" t="s">
        <v>174</v>
      </c>
      <c r="G16" s="5" t="s">
        <v>109</v>
      </c>
    </row>
    <row r="17" spans="1:7" x14ac:dyDescent="0.25">
      <c r="A17" s="4" t="s">
        <v>175</v>
      </c>
      <c r="B17" s="4" t="s">
        <v>176</v>
      </c>
      <c r="C17" s="4" t="s">
        <v>129</v>
      </c>
      <c r="D17" s="4" t="s">
        <v>143</v>
      </c>
      <c r="E17" s="4" t="s">
        <v>117</v>
      </c>
      <c r="F17" s="4" t="s">
        <v>177</v>
      </c>
      <c r="G17" s="5" t="s">
        <v>109</v>
      </c>
    </row>
    <row r="18" spans="1:7" x14ac:dyDescent="0.25">
      <c r="A18" s="4" t="s">
        <v>178</v>
      </c>
      <c r="B18" s="4" t="s">
        <v>179</v>
      </c>
      <c r="C18" s="4" t="s">
        <v>129</v>
      </c>
      <c r="D18" s="4" t="s">
        <v>156</v>
      </c>
      <c r="E18" s="4" t="s">
        <v>180</v>
      </c>
      <c r="F18" s="4" t="s">
        <v>181</v>
      </c>
      <c r="G18" s="5" t="s">
        <v>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716C-5BD2-411E-80BC-D72798FD796C}">
  <dimension ref="A1:J21"/>
  <sheetViews>
    <sheetView topLeftCell="B1" zoomScaleNormal="100" workbookViewId="0">
      <selection sqref="A1:J1"/>
    </sheetView>
  </sheetViews>
  <sheetFormatPr defaultRowHeight="15" x14ac:dyDescent="0.25"/>
  <cols>
    <col min="1" max="1" width="8.28515625" customWidth="1"/>
    <col min="2" max="2" width="14.28515625" bestFit="1" customWidth="1"/>
    <col min="3" max="3" width="29.7109375" customWidth="1"/>
    <col min="4" max="4" width="66.140625" bestFit="1" customWidth="1"/>
    <col min="5" max="5" width="18.140625" bestFit="1" customWidth="1"/>
    <col min="6" max="6" width="62.42578125" customWidth="1"/>
    <col min="7" max="7" width="15.85546875" customWidth="1"/>
    <col min="8" max="8" width="15" customWidth="1"/>
    <col min="9" max="9" width="52.5703125" customWidth="1"/>
    <col min="10" max="10" width="21.28515625" bestFit="1" customWidth="1"/>
  </cols>
  <sheetData>
    <row r="1" spans="1:10" ht="21" x14ac:dyDescent="0.35">
      <c r="A1" s="9" t="s">
        <v>197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119</v>
      </c>
    </row>
    <row r="4" spans="1:10" ht="30" x14ac:dyDescent="0.25">
      <c r="A4" s="1" t="s">
        <v>25</v>
      </c>
      <c r="B4" s="1" t="s">
        <v>17</v>
      </c>
      <c r="C4" s="1" t="s">
        <v>66</v>
      </c>
      <c r="D4" s="2" t="s">
        <v>30</v>
      </c>
      <c r="E4" s="1" t="s">
        <v>12</v>
      </c>
      <c r="F4" s="2" t="s">
        <v>73</v>
      </c>
      <c r="G4" s="2" t="s">
        <v>107</v>
      </c>
      <c r="H4" s="1" t="s">
        <v>1</v>
      </c>
      <c r="I4" s="2" t="s">
        <v>87</v>
      </c>
      <c r="J4" s="2"/>
    </row>
    <row r="5" spans="1:10" ht="45" x14ac:dyDescent="0.25">
      <c r="A5" s="1" t="s">
        <v>16</v>
      </c>
      <c r="B5" s="1" t="s">
        <v>17</v>
      </c>
      <c r="C5" s="1" t="s">
        <v>65</v>
      </c>
      <c r="D5" s="2" t="s">
        <v>26</v>
      </c>
      <c r="E5" s="1" t="s">
        <v>13</v>
      </c>
      <c r="F5" s="2" t="s">
        <v>74</v>
      </c>
      <c r="G5" s="2" t="s">
        <v>110</v>
      </c>
      <c r="H5" s="1" t="s">
        <v>0</v>
      </c>
      <c r="I5" s="2" t="s">
        <v>76</v>
      </c>
      <c r="J5" s="2"/>
    </row>
    <row r="6" spans="1:10" ht="30" x14ac:dyDescent="0.25">
      <c r="A6" s="1" t="s">
        <v>27</v>
      </c>
      <c r="B6" s="1" t="s">
        <v>17</v>
      </c>
      <c r="C6" s="1" t="s">
        <v>28</v>
      </c>
      <c r="D6" s="2" t="s">
        <v>29</v>
      </c>
      <c r="E6" s="1" t="s">
        <v>12</v>
      </c>
      <c r="F6" s="2" t="s">
        <v>88</v>
      </c>
      <c r="G6" s="2" t="s">
        <v>111</v>
      </c>
      <c r="H6" s="1" t="s">
        <v>109</v>
      </c>
      <c r="I6" s="2" t="s">
        <v>89</v>
      </c>
      <c r="J6" s="2"/>
    </row>
    <row r="7" spans="1:10" ht="30" x14ac:dyDescent="0.25">
      <c r="A7" s="1" t="s">
        <v>31</v>
      </c>
      <c r="B7" s="1" t="s">
        <v>17</v>
      </c>
      <c r="C7" s="1" t="s">
        <v>32</v>
      </c>
      <c r="D7" s="2" t="s">
        <v>33</v>
      </c>
      <c r="E7" s="1" t="s">
        <v>12</v>
      </c>
      <c r="F7" s="2" t="s">
        <v>75</v>
      </c>
      <c r="G7" s="2" t="s">
        <v>112</v>
      </c>
      <c r="H7" s="1" t="s">
        <v>0</v>
      </c>
      <c r="I7" s="2" t="s">
        <v>90</v>
      </c>
      <c r="J7" s="2"/>
    </row>
    <row r="8" spans="1:10" ht="45" x14ac:dyDescent="0.25">
      <c r="A8" s="1" t="s">
        <v>34</v>
      </c>
      <c r="B8" s="1" t="s">
        <v>17</v>
      </c>
      <c r="C8" s="1" t="s">
        <v>35</v>
      </c>
      <c r="D8" s="2" t="s">
        <v>36</v>
      </c>
      <c r="E8" s="1" t="s">
        <v>13</v>
      </c>
      <c r="F8" s="2" t="s">
        <v>113</v>
      </c>
      <c r="G8" s="2" t="s">
        <v>110</v>
      </c>
      <c r="H8" s="1" t="s">
        <v>0</v>
      </c>
      <c r="I8" s="2" t="s">
        <v>114</v>
      </c>
      <c r="J8" s="2"/>
    </row>
    <row r="9" spans="1:10" ht="45" x14ac:dyDescent="0.25">
      <c r="A9" s="1" t="s">
        <v>37</v>
      </c>
      <c r="B9" s="1" t="s">
        <v>2</v>
      </c>
      <c r="C9" s="1" t="s">
        <v>38</v>
      </c>
      <c r="D9" s="2" t="s">
        <v>39</v>
      </c>
      <c r="E9" s="1" t="s">
        <v>14</v>
      </c>
      <c r="F9" s="2" t="s">
        <v>77</v>
      </c>
      <c r="G9" s="2" t="s">
        <v>111</v>
      </c>
      <c r="H9" s="1" t="s">
        <v>1</v>
      </c>
      <c r="I9" s="2" t="s">
        <v>78</v>
      </c>
      <c r="J9" s="2"/>
    </row>
    <row r="10" spans="1:10" ht="45" x14ac:dyDescent="0.25">
      <c r="A10" s="1" t="s">
        <v>40</v>
      </c>
      <c r="B10" s="1" t="s">
        <v>2</v>
      </c>
      <c r="C10" s="1" t="s">
        <v>41</v>
      </c>
      <c r="D10" s="2" t="s">
        <v>42</v>
      </c>
      <c r="E10" s="1" t="s">
        <v>14</v>
      </c>
      <c r="F10" s="2" t="s">
        <v>91</v>
      </c>
      <c r="G10" s="2" t="s">
        <v>115</v>
      </c>
      <c r="H10" s="1" t="s">
        <v>0</v>
      </c>
      <c r="I10" s="2" t="s">
        <v>92</v>
      </c>
      <c r="J10" s="2"/>
    </row>
    <row r="11" spans="1:10" ht="30" x14ac:dyDescent="0.25">
      <c r="A11" s="1" t="s">
        <v>43</v>
      </c>
      <c r="B11" s="1" t="s">
        <v>46</v>
      </c>
      <c r="C11" s="1" t="s">
        <v>44</v>
      </c>
      <c r="D11" s="2" t="s">
        <v>45</v>
      </c>
      <c r="E11" s="1" t="s">
        <v>12</v>
      </c>
      <c r="F11" s="2" t="s">
        <v>93</v>
      </c>
      <c r="G11" s="2" t="s">
        <v>116</v>
      </c>
      <c r="H11" s="1" t="s">
        <v>1</v>
      </c>
      <c r="I11" s="2" t="s">
        <v>94</v>
      </c>
      <c r="J11" s="2"/>
    </row>
    <row r="12" spans="1:10" ht="30" x14ac:dyDescent="0.25">
      <c r="A12" s="1" t="s">
        <v>24</v>
      </c>
      <c r="B12" s="1" t="s">
        <v>46</v>
      </c>
      <c r="C12" s="1" t="s">
        <v>48</v>
      </c>
      <c r="D12" s="2" t="s">
        <v>47</v>
      </c>
      <c r="E12" s="1" t="s">
        <v>12</v>
      </c>
      <c r="F12" s="2" t="s">
        <v>95</v>
      </c>
      <c r="G12" s="2" t="s">
        <v>116</v>
      </c>
      <c r="H12" s="1" t="s">
        <v>1</v>
      </c>
      <c r="I12" s="2" t="s">
        <v>96</v>
      </c>
      <c r="J12" s="2"/>
    </row>
    <row r="13" spans="1:10" ht="45" x14ac:dyDescent="0.25">
      <c r="A13" s="1" t="s">
        <v>49</v>
      </c>
      <c r="B13" s="1" t="s">
        <v>46</v>
      </c>
      <c r="C13" s="1" t="s">
        <v>50</v>
      </c>
      <c r="D13" s="2" t="s">
        <v>51</v>
      </c>
      <c r="E13" s="1" t="s">
        <v>14</v>
      </c>
      <c r="F13" s="2" t="s">
        <v>79</v>
      </c>
      <c r="G13" s="2" t="s">
        <v>117</v>
      </c>
      <c r="H13" s="1" t="s">
        <v>0</v>
      </c>
      <c r="I13" s="2" t="s">
        <v>80</v>
      </c>
      <c r="J13" s="2"/>
    </row>
    <row r="14" spans="1:10" ht="45" x14ac:dyDescent="0.25">
      <c r="A14" s="1" t="s">
        <v>52</v>
      </c>
      <c r="B14" s="1" t="s">
        <v>20</v>
      </c>
      <c r="C14" s="1" t="s">
        <v>53</v>
      </c>
      <c r="D14" s="2" t="s">
        <v>54</v>
      </c>
      <c r="E14" s="1" t="s">
        <v>13</v>
      </c>
      <c r="F14" s="2" t="s">
        <v>97</v>
      </c>
      <c r="G14" s="2" t="s">
        <v>115</v>
      </c>
      <c r="H14" s="1" t="s">
        <v>1</v>
      </c>
      <c r="I14" s="2" t="s">
        <v>98</v>
      </c>
      <c r="J14" s="2"/>
    </row>
    <row r="15" spans="1:10" ht="45" x14ac:dyDescent="0.25">
      <c r="A15" s="1" t="s">
        <v>18</v>
      </c>
      <c r="B15" s="1" t="s">
        <v>20</v>
      </c>
      <c r="C15" s="1" t="s">
        <v>55</v>
      </c>
      <c r="D15" s="2" t="s">
        <v>56</v>
      </c>
      <c r="E15" s="1" t="s">
        <v>14</v>
      </c>
      <c r="F15" s="2" t="s">
        <v>99</v>
      </c>
      <c r="G15" s="2" t="s">
        <v>115</v>
      </c>
      <c r="H15" s="1" t="s">
        <v>108</v>
      </c>
      <c r="I15" s="2" t="s">
        <v>100</v>
      </c>
      <c r="J15" s="2"/>
    </row>
    <row r="16" spans="1:10" ht="45" x14ac:dyDescent="0.25">
      <c r="A16" s="1" t="s">
        <v>22</v>
      </c>
      <c r="B16" s="1" t="s">
        <v>20</v>
      </c>
      <c r="C16" s="1" t="s">
        <v>23</v>
      </c>
      <c r="D16" s="2" t="s">
        <v>57</v>
      </c>
      <c r="E16" s="1" t="s">
        <v>14</v>
      </c>
      <c r="F16" s="2" t="s">
        <v>81</v>
      </c>
      <c r="G16" s="2" t="s">
        <v>115</v>
      </c>
      <c r="H16" s="1" t="s">
        <v>108</v>
      </c>
      <c r="I16" s="2" t="s">
        <v>82</v>
      </c>
      <c r="J16" s="2"/>
    </row>
    <row r="17" spans="1:10" ht="45" x14ac:dyDescent="0.25">
      <c r="A17" s="1" t="s">
        <v>58</v>
      </c>
      <c r="B17" s="1" t="s">
        <v>20</v>
      </c>
      <c r="C17" s="1" t="s">
        <v>59</v>
      </c>
      <c r="D17" s="2" t="s">
        <v>60</v>
      </c>
      <c r="E17" s="1" t="s">
        <v>13</v>
      </c>
      <c r="F17" s="2" t="s">
        <v>101</v>
      </c>
      <c r="G17" s="2" t="s">
        <v>115</v>
      </c>
      <c r="H17" s="1" t="s">
        <v>0</v>
      </c>
      <c r="I17" s="2" t="s">
        <v>102</v>
      </c>
      <c r="J17" s="2"/>
    </row>
    <row r="18" spans="1:10" ht="45" x14ac:dyDescent="0.25">
      <c r="A18" s="1" t="s">
        <v>61</v>
      </c>
      <c r="B18" s="1" t="s">
        <v>20</v>
      </c>
      <c r="C18" s="1" t="s">
        <v>62</v>
      </c>
      <c r="D18" s="2" t="s">
        <v>63</v>
      </c>
      <c r="E18" s="1" t="s">
        <v>13</v>
      </c>
      <c r="F18" s="2" t="s">
        <v>85</v>
      </c>
      <c r="G18" s="2" t="s">
        <v>115</v>
      </c>
      <c r="H18" s="1" t="s">
        <v>1</v>
      </c>
      <c r="I18" s="2" t="s">
        <v>86</v>
      </c>
      <c r="J18" s="2"/>
    </row>
    <row r="19" spans="1:10" ht="60" x14ac:dyDescent="0.25">
      <c r="A19" s="1" t="s">
        <v>64</v>
      </c>
      <c r="B19" s="1" t="s">
        <v>20</v>
      </c>
      <c r="C19" s="1" t="s">
        <v>67</v>
      </c>
      <c r="D19" s="2" t="s">
        <v>68</v>
      </c>
      <c r="E19" s="1" t="s">
        <v>13</v>
      </c>
      <c r="F19" s="2" t="s">
        <v>105</v>
      </c>
      <c r="G19" s="2" t="s">
        <v>115</v>
      </c>
      <c r="H19" s="1" t="s">
        <v>0</v>
      </c>
      <c r="I19" s="2" t="s">
        <v>106</v>
      </c>
      <c r="J19" s="2"/>
    </row>
    <row r="20" spans="1:10" ht="45" x14ac:dyDescent="0.25">
      <c r="A20" s="1" t="s">
        <v>19</v>
      </c>
      <c r="B20" s="1" t="s">
        <v>20</v>
      </c>
      <c r="C20" s="1" t="s">
        <v>21</v>
      </c>
      <c r="D20" s="2" t="s">
        <v>69</v>
      </c>
      <c r="E20" s="1" t="s">
        <v>14</v>
      </c>
      <c r="F20" s="2" t="s">
        <v>83</v>
      </c>
      <c r="G20" s="2" t="s">
        <v>118</v>
      </c>
      <c r="H20" s="1" t="s">
        <v>108</v>
      </c>
      <c r="I20" s="2" t="s">
        <v>84</v>
      </c>
      <c r="J20" s="2"/>
    </row>
    <row r="21" spans="1:10" ht="30" x14ac:dyDescent="0.25">
      <c r="A21" s="1" t="s">
        <v>70</v>
      </c>
      <c r="B21" s="1" t="s">
        <v>20</v>
      </c>
      <c r="C21" s="1" t="s">
        <v>71</v>
      </c>
      <c r="D21" s="2" t="s">
        <v>72</v>
      </c>
      <c r="E21" s="1" t="s">
        <v>14</v>
      </c>
      <c r="F21" s="2" t="s">
        <v>103</v>
      </c>
      <c r="G21" s="2" t="s">
        <v>115</v>
      </c>
      <c r="H21" s="1" t="s">
        <v>109</v>
      </c>
      <c r="I21" s="2" t="s">
        <v>104</v>
      </c>
      <c r="J21" s="2"/>
    </row>
  </sheetData>
  <mergeCells count="1">
    <mergeCell ref="A1:J1"/>
  </mergeCells>
  <conditionalFormatting sqref="E4:E21">
    <cfRule type="containsText" dxfId="2" priority="1" operator="containsText" text="Partially Compliant">
      <formula>NOT(ISERROR(SEARCH("Partially Compliant",E4)))</formula>
    </cfRule>
    <cfRule type="containsText" priority="2" operator="containsText" text="Partially Compliant">
      <formula>NOT(ISERROR(SEARCH("Partially Compliant",E4)))</formula>
    </cfRule>
    <cfRule type="containsText" dxfId="1" priority="3" operator="containsText" text="Non-Compliant">
      <formula>NOT(ISERROR(SEARCH("Non-Compliant",E4)))</formula>
    </cfRule>
    <cfRule type="containsText" dxfId="0" priority="4" operator="containsText" text="Compliant">
      <formula>NOT(ISERROR(SEARCH("Compliant",E4)))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41FA49-B710-43CA-BA9B-460365412B41}">
          <x14:formula1>
            <xm:f>Sheet4!$A$2:$A$5</xm:f>
          </x14:formula1>
          <xm:sqref>E4:E21</xm:sqref>
        </x14:dataValidation>
        <x14:dataValidation type="list" allowBlank="1" showInputMessage="1" showErrorMessage="1" xr:uid="{5747CC29-6DAB-47FB-AF13-86D0F09763E2}">
          <x14:formula1>
            <xm:f>Sheet4!$C$2:$C$5</xm:f>
          </x14:formula1>
          <xm:sqref>H4:H21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9114-B67D-4377-852E-B7E68F6DFD46}">
  <dimension ref="A1:F28"/>
  <sheetViews>
    <sheetView workbookViewId="0">
      <selection activeCell="R23" sqref="R23"/>
    </sheetView>
  </sheetViews>
  <sheetFormatPr defaultRowHeight="15" x14ac:dyDescent="0.25"/>
  <cols>
    <col min="1" max="1" width="24.5703125" customWidth="1"/>
    <col min="2" max="2" width="24.140625" customWidth="1"/>
    <col min="3" max="3" width="28.7109375" customWidth="1"/>
    <col min="4" max="5" width="11.28515625" customWidth="1"/>
  </cols>
  <sheetData>
    <row r="1" spans="1:6" ht="21" x14ac:dyDescent="0.25">
      <c r="A1" s="11" t="s">
        <v>182</v>
      </c>
      <c r="B1" s="1"/>
      <c r="C1" s="1"/>
      <c r="D1" s="1"/>
      <c r="E1" s="1"/>
      <c r="F1" s="1"/>
    </row>
    <row r="3" spans="1:6" x14ac:dyDescent="0.25">
      <c r="A3" s="12" t="s">
        <v>183</v>
      </c>
      <c r="B3" s="7"/>
    </row>
    <row r="4" spans="1:6" x14ac:dyDescent="0.25">
      <c r="A4" t="s">
        <v>184</v>
      </c>
      <c r="B4" t="s">
        <v>185</v>
      </c>
    </row>
    <row r="5" spans="1:6" x14ac:dyDescent="0.25">
      <c r="A5" t="s">
        <v>186</v>
      </c>
      <c r="B5">
        <f>COUNTA('Control Matrix'!A:A)-2</f>
        <v>18</v>
      </c>
    </row>
    <row r="6" spans="1:6" x14ac:dyDescent="0.25">
      <c r="A6" t="s">
        <v>12</v>
      </c>
      <c r="B6">
        <f>COUNTIF('Control Matrix'!E:E,"Compliant")</f>
        <v>5</v>
      </c>
    </row>
    <row r="7" spans="1:6" x14ac:dyDescent="0.25">
      <c r="A7" t="s">
        <v>13</v>
      </c>
      <c r="B7">
        <f>COUNTIF('Control Matrix'!E:E,"Partially Compliant")</f>
        <v>6</v>
      </c>
    </row>
    <row r="8" spans="1:6" x14ac:dyDescent="0.25">
      <c r="A8" t="s">
        <v>14</v>
      </c>
      <c r="B8">
        <f>COUNTIF('Control Matrix'!E:E,"Non-Compliant")</f>
        <v>7</v>
      </c>
    </row>
    <row r="9" spans="1:6" x14ac:dyDescent="0.25">
      <c r="A9" t="s">
        <v>187</v>
      </c>
      <c r="B9" s="6">
        <f>(B6/B5)</f>
        <v>0.27777777777777779</v>
      </c>
    </row>
    <row r="12" spans="1:6" x14ac:dyDescent="0.25">
      <c r="A12" s="12" t="s">
        <v>188</v>
      </c>
      <c r="B12" s="7"/>
      <c r="C12" s="7"/>
    </row>
    <row r="13" spans="1:6" x14ac:dyDescent="0.25">
      <c r="A13" t="s">
        <v>10</v>
      </c>
      <c r="B13" t="s">
        <v>196</v>
      </c>
      <c r="C13" t="s">
        <v>189</v>
      </c>
    </row>
    <row r="14" spans="1:6" x14ac:dyDescent="0.25">
      <c r="A14" t="s">
        <v>108</v>
      </c>
      <c r="B14">
        <v>3</v>
      </c>
      <c r="C14">
        <v>3</v>
      </c>
    </row>
    <row r="15" spans="1:6" x14ac:dyDescent="0.25">
      <c r="A15" t="s">
        <v>0</v>
      </c>
      <c r="B15">
        <v>7</v>
      </c>
      <c r="C15">
        <v>2</v>
      </c>
    </row>
    <row r="16" spans="1:6" x14ac:dyDescent="0.25">
      <c r="A16" t="s">
        <v>1</v>
      </c>
      <c r="B16">
        <v>6</v>
      </c>
      <c r="C16">
        <v>1</v>
      </c>
    </row>
    <row r="17" spans="1:6" x14ac:dyDescent="0.25">
      <c r="A17" t="s">
        <v>109</v>
      </c>
      <c r="B17">
        <v>2</v>
      </c>
      <c r="C17">
        <v>1</v>
      </c>
    </row>
    <row r="20" spans="1:6" x14ac:dyDescent="0.25">
      <c r="A20" s="12" t="s">
        <v>190</v>
      </c>
      <c r="B20" s="7"/>
      <c r="C20" s="7"/>
    </row>
    <row r="21" spans="1:6" x14ac:dyDescent="0.25">
      <c r="A21" t="s">
        <v>9</v>
      </c>
      <c r="B21" t="s">
        <v>191</v>
      </c>
      <c r="C21" t="s">
        <v>192</v>
      </c>
    </row>
    <row r="22" spans="1:6" x14ac:dyDescent="0.25">
      <c r="A22" t="s">
        <v>194</v>
      </c>
      <c r="B22">
        <v>16</v>
      </c>
      <c r="C22">
        <v>6</v>
      </c>
    </row>
    <row r="23" spans="1:6" x14ac:dyDescent="0.25">
      <c r="A23" t="s">
        <v>193</v>
      </c>
      <c r="B23">
        <v>4</v>
      </c>
      <c r="C23">
        <v>1</v>
      </c>
    </row>
    <row r="28" spans="1:6" x14ac:dyDescent="0.25">
      <c r="F28" t="s">
        <v>195</v>
      </c>
    </row>
  </sheetData>
  <mergeCells count="3">
    <mergeCell ref="A3:B3"/>
    <mergeCell ref="A12:C12"/>
    <mergeCell ref="A20:C20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2596-55B4-4DF6-8557-319F63B9FF55}">
  <dimension ref="A2:C5"/>
  <sheetViews>
    <sheetView workbookViewId="0">
      <selection activeCell="C3" sqref="C3"/>
    </sheetView>
  </sheetViews>
  <sheetFormatPr defaultRowHeight="15" x14ac:dyDescent="0.25"/>
  <cols>
    <col min="1" max="1" width="18.140625" bestFit="1" customWidth="1"/>
  </cols>
  <sheetData>
    <row r="2" spans="1:3" x14ac:dyDescent="0.25">
      <c r="A2" t="s">
        <v>12</v>
      </c>
      <c r="C2" t="s">
        <v>108</v>
      </c>
    </row>
    <row r="3" spans="1:3" x14ac:dyDescent="0.25">
      <c r="A3" t="s">
        <v>13</v>
      </c>
      <c r="C3" t="s">
        <v>0</v>
      </c>
    </row>
    <row r="4" spans="1:3" x14ac:dyDescent="0.25">
      <c r="A4" t="s">
        <v>14</v>
      </c>
      <c r="C4" t="s">
        <v>1</v>
      </c>
    </row>
    <row r="5" spans="1:3" x14ac:dyDescent="0.25">
      <c r="A5" t="s">
        <v>15</v>
      </c>
      <c r="C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 Register</vt:lpstr>
      <vt:lpstr>Control Matrix</vt:lpstr>
      <vt:lpstr>Dashboard Data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SOFIAN BIN SHAHARUDIN</dc:creator>
  <cp:lastModifiedBy>AHMAD SOFIAN BIN SHAHARUDIN</cp:lastModifiedBy>
  <dcterms:created xsi:type="dcterms:W3CDTF">2026-04-30T02:27:52Z</dcterms:created>
  <dcterms:modified xsi:type="dcterms:W3CDTF">2026-04-30T10:53:49Z</dcterms:modified>
</cp:coreProperties>
</file>